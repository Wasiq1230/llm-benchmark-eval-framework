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orecar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<sst xmlns="http://schemas.openxmlformats.org/spreadsheetml/2006/main" count="50" uniqueCount="41">
  <si>
    <t xml:space="preserve">Vendor scorecard</t>
  </si>
  <si>
    <t xml:space="preserve">Type measured values into the yellow cells from report/dashboard.html. Everything else is a formula. Change a weight in B6:B9 and every score below recalculates, which is the point of having this alongside the dashboard.</t>
  </si>
  <si>
    <t xml:space="preserve">Decision weights</t>
  </si>
  <si>
    <t xml:space="preserve">Accuracy</t>
  </si>
  <si>
    <t xml:space="preserve">Cost</t>
  </si>
  <si>
    <t xml:space="preserve">Latency</t>
  </si>
  <si>
    <t xml:space="preserve">Integration</t>
  </si>
  <si>
    <t xml:space="preserve">Total</t>
  </si>
  <si>
    <t xml:space="preserve">Measured inputs</t>
  </si>
  <si>
    <t xml:space="preserve">Measure</t>
  </si>
  <si>
    <t xml:space="preserve">OpenAI</t>
  </si>
  <si>
    <t xml:space="preserve">Anthropic</t>
  </si>
  <si>
    <t xml:space="preserve">Google</t>
  </si>
  <si>
    <t xml:space="preserve">Direction</t>
  </si>
  <si>
    <t xml:space="preserve">Where it comes from</t>
  </si>
  <si>
    <t xml:space="preserve">Accuracy composite (0 to 1)</t>
  </si>
  <si>
    <t xml:space="preserve">higher</t>
  </si>
  <si>
    <t xml:space="preserve">Dashboard, comparison table, accuracy row</t>
  </si>
  <si>
    <t xml:space="preserve">Cost per 1,000 calls (USD)</t>
  </si>
  <si>
    <t xml:space="preserve">lower</t>
  </si>
  <si>
    <t xml:space="preserve">Dashboard, comparison table, cost row</t>
  </si>
  <si>
    <t xml:space="preserve">Latency p95 (ms)</t>
  </si>
  <si>
    <t xml:space="preserve">Dashboard, comparison table, p95 row</t>
  </si>
  <si>
    <t xml:space="preserve">Integration rubric (1 to 5)</t>
  </si>
  <si>
    <t xml:space="preserve">Scored by hand, rubric in docs/methodology.md</t>
  </si>
  <si>
    <t xml:space="preserve">Values above are placeholders that show the expected format. Replace all twelve with your own measured numbers before using this sheet for anything.</t>
  </si>
  <si>
    <t xml:space="preserve">Latency scoring thresholds (ms)</t>
  </si>
  <si>
    <t xml:space="preserve">Full marks at or below</t>
  </si>
  <si>
    <t xml:space="preserve">Zero at or above</t>
  </si>
  <si>
    <t xml:space="preserve">Normalised scores out of 100</t>
  </si>
  <si>
    <t xml:space="preserve">Axis</t>
  </si>
  <si>
    <t xml:space="preserve">How it is normalised</t>
  </si>
  <si>
    <t xml:space="preserve">Accuracy composite times 100</t>
  </si>
  <si>
    <t xml:space="preserve">Cheapest vendor scores 100, the rest scale by the ratio</t>
  </si>
  <si>
    <t xml:space="preserve">100 at or under the target p95, 0 at or over the failure threshold, linear between</t>
  </si>
  <si>
    <t xml:space="preserve">Rubric mean, rescaled so 1 becomes 0 and 5 becomes 100</t>
  </si>
  <si>
    <t xml:space="preserve">Weighted score</t>
  </si>
  <si>
    <t xml:space="preserve">Sum of axis scores times weights, divided by the weight total</t>
  </si>
  <si>
    <t xml:space="preserve">Rank</t>
  </si>
  <si>
    <t xml:space="preserve">Winner</t>
  </si>
  <si>
    <t xml:space="preserve">Assumption: the four weights above were set for a courier support use case where a mislabelled ticket costs staff time and a wrong reply costs customer trust. They are a judgement, not a measurement. Move them and see whether the winner changes.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</si>
</sst>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%"/>
    <numFmt numFmtId="166" formatCode="0.00"/>
    <numFmt numFmtId="167" formatCode="#,##0"/>
    <numFmt numFmtId="168" formatCode="0.0"/>
    <numFmt numFmtId="169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2181A"/>
      <name val="Arial"/>
      <family val="0"/>
      <charset val="1"/>
    </font>
    <font>
      <i val="true"/>
      <sz val="9"/>
      <color rgb="FF5A6560"/>
      <name val="Arial"/>
      <family val="0"/>
      <charset val="1"/>
    </font>
    <font>
      <b val="true"/>
      <sz val="10"/>
      <color rgb="FF12181A"/>
      <name val="Arial"/>
      <family val="0"/>
      <charset val="1"/>
    </font>
    <font>
      <sz val="10"/>
      <color rgb="FF12181A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12181A"/>
      <name val="Arial"/>
      <family val="0"/>
      <charset val="1"/>
    </font>
    <font>
      <b val="true"/>
      <sz val="12"/>
      <color rgb="FF0B6E4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2F5F1"/>
      </patternFill>
    </fill>
    <fill>
      <patternFill patternType="solid">
        <fgColor rgb="FF1F2C2F"/>
        <bgColor rgb="FF12181A"/>
      </patternFill>
    </fill>
    <fill>
      <patternFill patternType="solid">
        <fgColor rgb="FFF2F5F1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7CDC6"/>
      </left>
      <right style="thin">
        <color rgb="FFC7CDC6"/>
      </right>
      <top style="thin">
        <color rgb="FFC7CDC6"/>
      </top>
      <bottom style="thin">
        <color rgb="FFC7CD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6E4F"/>
      <rgbColor rgb="FFC7CDC6"/>
      <rgbColor rgb="FF808080"/>
      <rgbColor rgb="FF9999FF"/>
      <rgbColor rgb="FF993366"/>
      <rgbColor rgb="FFFFFFCC"/>
      <rgbColor rgb="FFF2F5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560"/>
      <rgbColor rgb="FF969696"/>
      <rgbColor rgb="FF003366"/>
      <rgbColor rgb="FF339966"/>
      <rgbColor rgb="FF12181A"/>
      <rgbColor rgb="FF333300"/>
      <rgbColor rgb="FF993300"/>
      <rgbColor rgb="FF993366"/>
      <rgbColor rgb="FF333399"/>
      <rgbColor rgb="FF1F2C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true" showOutlineSymbols="true" defaultGridColor="true" view="normal" topLeftCell="A26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4"/>
    <col collapsed="false" customWidth="true" hidden="false" outlineLevel="0" max="5" min="5" style="0" width="12"/>
    <col collapsed="false" customWidth="true" hidden="false" outlineLevel="0" max="6" min="6" style="0" width="46"/>
  </cols>
  <sheetData>
    <row r="1" customFormat="false" ht="17.35" hidden="false" customHeight="false" outlineLevel="0" collapsed="false">
      <c r="A1" s="1" t="s">
        <v>0</v>
      </c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0.4</v>
      </c>
    </row>
    <row r="6" customFormat="false" ht="15" hidden="false" customHeight="false" outlineLevel="0" collapsed="false">
      <c r="A6" s="4" t="s">
        <v>4</v>
      </c>
      <c r="B6" s="5" t="n">
        <v>0.25</v>
      </c>
    </row>
    <row r="7" customFormat="false" ht="15" hidden="false" customHeight="false" outlineLevel="0" collapsed="false">
      <c r="A7" s="4" t="s">
        <v>5</v>
      </c>
      <c r="B7" s="5" t="n">
        <v>0.2</v>
      </c>
    </row>
    <row r="8" customFormat="false" ht="15" hidden="false" customHeight="false" outlineLevel="0" collapsed="false">
      <c r="A8" s="4" t="s">
        <v>6</v>
      </c>
      <c r="B8" s="5" t="n">
        <v>0.15</v>
      </c>
    </row>
    <row r="9" customFormat="false" ht="15" hidden="false" customHeight="false" outlineLevel="0" collapsed="false">
      <c r="A9" s="3" t="s">
        <v>7</v>
      </c>
      <c r="B9" s="6" t="n">
        <f aca="false">SUM(B5:B8)</f>
        <v>1</v>
      </c>
      <c r="C9" s="7" t="str">
        <f aca="false">IF(ABS(B9-1)&lt;0.0001,"ok","weights must sum to 100%")</f>
        <v>ok</v>
      </c>
    </row>
    <row r="11" customFormat="false" ht="15" hidden="false" customHeight="false" outlineLevel="0" collapsed="false">
      <c r="A11" s="3" t="s">
        <v>8</v>
      </c>
    </row>
    <row r="12" customFormat="false" ht="30" hidden="false" customHeight="true" outlineLevel="0" collapsed="false">
      <c r="A12" s="8" t="s">
        <v>9</v>
      </c>
      <c r="B12" s="8" t="s">
        <v>10</v>
      </c>
      <c r="C12" s="8" t="s">
        <v>11</v>
      </c>
      <c r="D12" s="8" t="s">
        <v>12</v>
      </c>
      <c r="E12" s="8" t="s">
        <v>13</v>
      </c>
      <c r="F12" s="8" t="s">
        <v>14</v>
      </c>
    </row>
    <row r="13" customFormat="false" ht="15" hidden="false" customHeight="false" outlineLevel="0" collapsed="false">
      <c r="A13" s="4" t="s">
        <v>15</v>
      </c>
      <c r="B13" s="9" t="n">
        <v>0.9</v>
      </c>
      <c r="C13" s="9" t="n">
        <v>0.93</v>
      </c>
      <c r="D13" s="9" t="n">
        <v>0.86</v>
      </c>
      <c r="E13" s="7" t="s">
        <v>16</v>
      </c>
      <c r="F13" s="7" t="s">
        <v>17</v>
      </c>
    </row>
    <row r="14" customFormat="false" ht="15" hidden="false" customHeight="false" outlineLevel="0" collapsed="false">
      <c r="A14" s="4" t="s">
        <v>18</v>
      </c>
      <c r="B14" s="9" t="n">
        <v>0.25</v>
      </c>
      <c r="C14" s="9" t="n">
        <v>1.15</v>
      </c>
      <c r="D14" s="9" t="n">
        <v>0.45</v>
      </c>
      <c r="E14" s="7" t="s">
        <v>19</v>
      </c>
      <c r="F14" s="7" t="s">
        <v>20</v>
      </c>
    </row>
    <row r="15" customFormat="false" ht="15" hidden="false" customHeight="false" outlineLevel="0" collapsed="false">
      <c r="A15" s="4" t="s">
        <v>21</v>
      </c>
      <c r="B15" s="10" t="n">
        <v>1400</v>
      </c>
      <c r="C15" s="10" t="n">
        <v>1750</v>
      </c>
      <c r="D15" s="10" t="n">
        <v>1250</v>
      </c>
      <c r="E15" s="7" t="s">
        <v>19</v>
      </c>
      <c r="F15" s="7" t="s">
        <v>22</v>
      </c>
    </row>
    <row r="16" customFormat="false" ht="15" hidden="false" customHeight="false" outlineLevel="0" collapsed="false">
      <c r="A16" s="4" t="s">
        <v>23</v>
      </c>
      <c r="B16" s="9" t="n">
        <v>4.3</v>
      </c>
      <c r="C16" s="9" t="n">
        <v>4</v>
      </c>
      <c r="D16" s="9" t="n">
        <v>3.8</v>
      </c>
      <c r="E16" s="7" t="s">
        <v>16</v>
      </c>
      <c r="F16" s="7" t="s">
        <v>24</v>
      </c>
    </row>
    <row r="18" customFormat="false" ht="15" hidden="false" customHeight="false" outlineLevel="0" collapsed="false">
      <c r="A18" s="2" t="s">
        <v>25</v>
      </c>
      <c r="B18" s="2"/>
      <c r="C18" s="2"/>
      <c r="D18" s="2"/>
      <c r="E18" s="2"/>
      <c r="F18" s="2"/>
    </row>
    <row r="20" customFormat="false" ht="15" hidden="false" customHeight="false" outlineLevel="0" collapsed="false">
      <c r="A20" s="3" t="s">
        <v>26</v>
      </c>
    </row>
    <row r="21" customFormat="false" ht="15" hidden="false" customHeight="false" outlineLevel="0" collapsed="false">
      <c r="A21" s="4" t="s">
        <v>27</v>
      </c>
      <c r="B21" s="11" t="n">
        <v>2500</v>
      </c>
    </row>
    <row r="22" customFormat="false" ht="15" hidden="false" customHeight="false" outlineLevel="0" collapsed="false">
      <c r="A22" s="4" t="s">
        <v>28</v>
      </c>
      <c r="B22" s="11" t="n">
        <v>6000</v>
      </c>
    </row>
    <row r="24" customFormat="false" ht="15" hidden="false" customHeight="false" outlineLevel="0" collapsed="false">
      <c r="A24" s="3" t="s">
        <v>29</v>
      </c>
    </row>
    <row r="25" customFormat="false" ht="30" hidden="false" customHeight="true" outlineLevel="0" collapsed="false">
      <c r="A25" s="8" t="s">
        <v>30</v>
      </c>
      <c r="B25" s="8" t="s">
        <v>10</v>
      </c>
      <c r="C25" s="8" t="s">
        <v>11</v>
      </c>
      <c r="D25" s="8" t="s">
        <v>12</v>
      </c>
      <c r="E25" s="8"/>
      <c r="F25" s="8" t="s">
        <v>31</v>
      </c>
    </row>
    <row r="26" customFormat="false" ht="15" hidden="false" customHeight="false" outlineLevel="0" collapsed="false">
      <c r="A26" s="3" t="s">
        <v>3</v>
      </c>
      <c r="B26" s="12" t="n">
        <f aca="false">B13*100</f>
        <v>90</v>
      </c>
      <c r="C26" s="12" t="n">
        <f aca="false">C13*100</f>
        <v>93</v>
      </c>
      <c r="D26" s="12" t="n">
        <f aca="false">D13*100</f>
        <v>86</v>
      </c>
      <c r="F26" s="7" t="s">
        <v>32</v>
      </c>
    </row>
    <row r="27" customFormat="false" ht="15" hidden="false" customHeight="false" outlineLevel="0" collapsed="false">
      <c r="A27" s="3" t="s">
        <v>4</v>
      </c>
      <c r="B27" s="12" t="n">
        <f aca="false">IF(B14=0,0,MIN($B$14:$D$14)/B14*100)</f>
        <v>100</v>
      </c>
      <c r="C27" s="12" t="n">
        <f aca="false">IF(C14=0,0,MIN($B$14:$D$14)/C14*100)</f>
        <v>21.7391304347826</v>
      </c>
      <c r="D27" s="12" t="n">
        <f aca="false">IF(D14=0,0,MIN($B$14:$D$14)/D14*100)</f>
        <v>55.5555555555556</v>
      </c>
      <c r="F27" s="7" t="s">
        <v>33</v>
      </c>
    </row>
    <row r="28" customFormat="false" ht="15" hidden="false" customHeight="false" outlineLevel="0" collapsed="false">
      <c r="A28" s="3" t="s">
        <v>5</v>
      </c>
      <c r="B28" s="12" t="n">
        <f aca="false">IF(B15&lt;=$B$21,100,IF(B15&gt;=$B$22,0,($B$22-B15)/($B$22-$B$21)*100))</f>
        <v>100</v>
      </c>
      <c r="C28" s="12" t="n">
        <f aca="false">IF(C15&lt;=$B$21,100,IF(C15&gt;=$B$22,0,($B$22-C15)/($B$22-$B$21)*100))</f>
        <v>100</v>
      </c>
      <c r="D28" s="12" t="n">
        <f aca="false">IF(D15&lt;=$B$21,100,IF(D15&gt;=$B$22,0,($B$22-D15)/($B$22-$B$21)*100))</f>
        <v>100</v>
      </c>
      <c r="F28" s="7" t="s">
        <v>34</v>
      </c>
    </row>
    <row r="29" customFormat="false" ht="15" hidden="false" customHeight="false" outlineLevel="0" collapsed="false">
      <c r="A29" s="3" t="s">
        <v>6</v>
      </c>
      <c r="B29" s="12" t="n">
        <f aca="false">(B16-1)/4*100</f>
        <v>82.5</v>
      </c>
      <c r="C29" s="12" t="n">
        <f aca="false">(C16-1)/4*100</f>
        <v>75</v>
      </c>
      <c r="D29" s="12" t="n">
        <f aca="false">(D16-1)/4*100</f>
        <v>70</v>
      </c>
      <c r="F29" s="7" t="s">
        <v>35</v>
      </c>
    </row>
    <row r="31" customFormat="false" ht="15" hidden="false" customHeight="false" outlineLevel="0" collapsed="false">
      <c r="A31" s="3" t="s">
        <v>36</v>
      </c>
      <c r="B31" s="13" t="n">
        <f aca="false">IFERROR((B26*$B$5+B27*$B$6+B28*$B$7+B29*$B$8)/$B$9,0)</f>
        <v>93.375</v>
      </c>
      <c r="C31" s="13" t="n">
        <f aca="false">IFERROR((C26*$B$5+C27*$B$6+C28*$B$7+C29*$B$8)/$B$9,0)</f>
        <v>73.8847826086957</v>
      </c>
      <c r="D31" s="13" t="n">
        <f aca="false">IFERROR((D26*$B$5+D27*$B$6+D28*$B$7+D29*$B$8)/$B$9,0)</f>
        <v>78.7888888888889</v>
      </c>
      <c r="F31" s="7" t="s">
        <v>37</v>
      </c>
    </row>
    <row r="32" customFormat="false" ht="15" hidden="false" customHeight="false" outlineLevel="0" collapsed="false">
      <c r="A32" s="3" t="s">
        <v>38</v>
      </c>
      <c r="B32" s="14" t="n">
        <f aca="false">RANK(B31,$B$31:$D$31,0)</f>
        <v>1</v>
      </c>
      <c r="C32" s="14" t="n">
        <f aca="false">RANK(C31,$B$31:$D$31,0)</f>
        <v>3</v>
      </c>
      <c r="D32" s="14" t="n">
        <f aca="false">RANK(D31,$B$31:$D$31,0)</f>
        <v>2</v>
      </c>
    </row>
    <row r="34" customFormat="false" ht="15" hidden="false" customHeight="false" outlineLevel="0" collapsed="false">
      <c r="A34" s="3" t="s">
        <v>39</v>
      </c>
      <c r="B34" s="15" t="str">
        <f aca="false">INDEX($B$25:$D$25,MATCH(MAX($B$31:$D$31),$B$31:$D$31,0))</f>
        <v>OpenAI</v>
      </c>
    </row>
    <row r="36" customFormat="false" ht="30" hidden="false" customHeight="true" outlineLevel="0" collapsed="false">
      <c r="A36" s="2" t="s">
        <v>40</v>
      </c>
      <c r="B36" s="2"/>
      <c r="C36" s="2"/>
      <c r="D36" s="2"/>
      <c r="E36" s="2"/>
      <c r="F36" s="2"/>
    </row>
  </sheetData>
  <mergeCells count="3">
    <mergeCell ref="A2:F2"/>
    <mergeCell ref="A18:F18"/>
    <mergeCell ref="A36:F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2026-08-09T13:25:00Z</dcterms:created>
  <dc:creator>openpyxl</dc:creator>
  <dc:description/>
  <dc:language>en-US</dc:language>
  <cp:lastModifiedBy/>
  <dcterms:modified xsi:type="dcterms:W3CDTF">2026-08-09T13:25:00Z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